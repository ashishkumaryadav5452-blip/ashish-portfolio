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20"/>
    </font>
    <font>
      <i val="1"/>
    </font>
    <font>
      <b val="1"/>
    </font>
    <font>
      <b val="1"/>
      <sz val="16"/>
    </font>
    <font>
      <b val="1"/>
      <sz val="14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'Dashboard'!$A$11:$A$22</f>
            </numRef>
          </cat>
          <val>
            <numRef>
              <f>'Dashboard'!$B$11:$B$22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G121" headerRowCount="1">
  <autoFilter ref="A1:G121"/>
  <tableColumns count="7">
    <tableColumn id="1" name="Order ID"/>
    <tableColumn id="2" name="Date"/>
    <tableColumn id="3" name="Region"/>
    <tableColumn id="4" name="Product"/>
    <tableColumn id="5" name="Units"/>
    <tableColumn id="6" name="Unit Price"/>
    <tableColumn id="7" name="Revenu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0" customWidth="1" min="4" max="4"/>
    <col width="10" customWidth="1" min="5" max="5"/>
    <col width="14" customWidth="1" min="6" max="6"/>
    <col width="15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Revenue</t>
        </is>
      </c>
    </row>
    <row r="2">
      <c r="A2" t="n">
        <v>1001</v>
      </c>
      <c r="B2" s="2" t="n">
        <v>45658</v>
      </c>
      <c r="C2" t="inlineStr">
        <is>
          <t>East</t>
        </is>
      </c>
      <c r="D2" t="inlineStr">
        <is>
          <t>Headset</t>
        </is>
      </c>
      <c r="E2" t="n">
        <v>3</v>
      </c>
      <c r="F2" s="3" t="n">
        <v>1600</v>
      </c>
      <c r="G2" s="3">
        <f>E2*F2</f>
        <v/>
      </c>
    </row>
    <row r="3">
      <c r="A3" t="n">
        <v>1002</v>
      </c>
      <c r="B3" s="2" t="n">
        <v>45662</v>
      </c>
      <c r="C3" t="inlineStr">
        <is>
          <t>North</t>
        </is>
      </c>
      <c r="D3" t="inlineStr">
        <is>
          <t>Wireless Mouse</t>
        </is>
      </c>
      <c r="E3" t="n">
        <v>5</v>
      </c>
      <c r="F3" s="3" t="n">
        <v>900</v>
      </c>
      <c r="G3" s="3">
        <f>E3*F3</f>
        <v/>
      </c>
    </row>
    <row r="4">
      <c r="A4" t="n">
        <v>1003</v>
      </c>
      <c r="B4" s="2" t="n">
        <v>45660</v>
      </c>
      <c r="C4" t="inlineStr">
        <is>
          <t>West</t>
        </is>
      </c>
      <c r="D4" t="inlineStr">
        <is>
          <t>Headset</t>
        </is>
      </c>
      <c r="E4" t="n">
        <v>10</v>
      </c>
      <c r="F4" s="3" t="n">
        <v>1600</v>
      </c>
      <c r="G4" s="3">
        <f>E4*F4</f>
        <v/>
      </c>
    </row>
    <row r="5">
      <c r="A5" t="n">
        <v>1004</v>
      </c>
      <c r="B5" s="2" t="n">
        <v>45660</v>
      </c>
      <c r="C5" t="inlineStr">
        <is>
          <t>South</t>
        </is>
      </c>
      <c r="D5" t="inlineStr">
        <is>
          <t>Laptop Stand</t>
        </is>
      </c>
      <c r="E5" t="n">
        <v>2</v>
      </c>
      <c r="F5" s="3" t="n">
        <v>1800</v>
      </c>
      <c r="G5" s="3">
        <f>E5*F5</f>
        <v/>
      </c>
    </row>
    <row r="6">
      <c r="A6" t="n">
        <v>1005</v>
      </c>
      <c r="B6" s="2" t="n">
        <v>45677</v>
      </c>
      <c r="C6" t="inlineStr">
        <is>
          <t>North</t>
        </is>
      </c>
      <c r="D6" t="inlineStr">
        <is>
          <t>Wireless Mouse</t>
        </is>
      </c>
      <c r="E6" t="n">
        <v>10</v>
      </c>
      <c r="F6" s="3" t="n">
        <v>900</v>
      </c>
      <c r="G6" s="3">
        <f>E6*F6</f>
        <v/>
      </c>
    </row>
    <row r="7">
      <c r="A7" t="n">
        <v>1006</v>
      </c>
      <c r="B7" s="2" t="n">
        <v>45680</v>
      </c>
      <c r="C7" t="inlineStr">
        <is>
          <t>West</t>
        </is>
      </c>
      <c r="D7" t="inlineStr">
        <is>
          <t>Webcam</t>
        </is>
      </c>
      <c r="E7" t="n">
        <v>5</v>
      </c>
      <c r="F7" s="3" t="n">
        <v>2200</v>
      </c>
      <c r="G7" s="3">
        <f>E7*F7</f>
        <v/>
      </c>
    </row>
    <row r="8">
      <c r="A8" t="n">
        <v>1007</v>
      </c>
      <c r="B8" s="2" t="n">
        <v>45676</v>
      </c>
      <c r="C8" t="inlineStr">
        <is>
          <t>East</t>
        </is>
      </c>
      <c r="D8" t="inlineStr">
        <is>
          <t>Wireless Mouse</t>
        </is>
      </c>
      <c r="E8" t="n">
        <v>9</v>
      </c>
      <c r="F8" s="3" t="n">
        <v>900</v>
      </c>
      <c r="G8" s="3">
        <f>E8*F8</f>
        <v/>
      </c>
    </row>
    <row r="9">
      <c r="A9" t="n">
        <v>1008</v>
      </c>
      <c r="B9" s="2" t="n">
        <v>45680</v>
      </c>
      <c r="C9" t="inlineStr">
        <is>
          <t>West</t>
        </is>
      </c>
      <c r="D9" t="inlineStr">
        <is>
          <t>Laptop Stand</t>
        </is>
      </c>
      <c r="E9" t="n">
        <v>4</v>
      </c>
      <c r="F9" s="3" t="n">
        <v>1800</v>
      </c>
      <c r="G9" s="3">
        <f>E9*F9</f>
        <v/>
      </c>
    </row>
    <row r="10">
      <c r="A10" t="n">
        <v>1009</v>
      </c>
      <c r="B10" s="2" t="n">
        <v>45662</v>
      </c>
      <c r="C10" t="inlineStr">
        <is>
          <t>South</t>
        </is>
      </c>
      <c r="D10" t="inlineStr">
        <is>
          <t>Keyboard</t>
        </is>
      </c>
      <c r="E10" t="n">
        <v>6</v>
      </c>
      <c r="F10" s="3" t="n">
        <v>1400</v>
      </c>
      <c r="G10" s="3">
        <f>E10*F10</f>
        <v/>
      </c>
    </row>
    <row r="11">
      <c r="A11" t="n">
        <v>1010</v>
      </c>
      <c r="B11" s="2" t="n">
        <v>45660</v>
      </c>
      <c r="C11" t="inlineStr">
        <is>
          <t>West</t>
        </is>
      </c>
      <c r="D11" t="inlineStr">
        <is>
          <t>Keyboard</t>
        </is>
      </c>
      <c r="E11" t="n">
        <v>3</v>
      </c>
      <c r="F11" s="3" t="n">
        <v>1400</v>
      </c>
      <c r="G11" s="3">
        <f>E11*F11</f>
        <v/>
      </c>
    </row>
    <row r="12">
      <c r="A12" t="n">
        <v>1011</v>
      </c>
      <c r="B12" s="2" t="n">
        <v>45716</v>
      </c>
      <c r="C12" t="inlineStr">
        <is>
          <t>East</t>
        </is>
      </c>
      <c r="D12" t="inlineStr">
        <is>
          <t>Laptop Stand</t>
        </is>
      </c>
      <c r="E12" t="n">
        <v>7</v>
      </c>
      <c r="F12" s="3" t="n">
        <v>1800</v>
      </c>
      <c r="G12" s="3">
        <f>E12*F12</f>
        <v/>
      </c>
    </row>
    <row r="13">
      <c r="A13" t="n">
        <v>1012</v>
      </c>
      <c r="B13" s="2" t="n">
        <v>45714</v>
      </c>
      <c r="C13" t="inlineStr">
        <is>
          <t>North</t>
        </is>
      </c>
      <c r="D13" t="inlineStr">
        <is>
          <t>Webcam</t>
        </is>
      </c>
      <c r="E13" t="n">
        <v>6</v>
      </c>
      <c r="F13" s="3" t="n">
        <v>2200</v>
      </c>
      <c r="G13" s="3">
        <f>E13*F13</f>
        <v/>
      </c>
    </row>
    <row r="14">
      <c r="A14" t="n">
        <v>1013</v>
      </c>
      <c r="B14" s="2" t="n">
        <v>45706</v>
      </c>
      <c r="C14" t="inlineStr">
        <is>
          <t>North</t>
        </is>
      </c>
      <c r="D14" t="inlineStr">
        <is>
          <t>Headset</t>
        </is>
      </c>
      <c r="E14" t="n">
        <v>9</v>
      </c>
      <c r="F14" s="3" t="n">
        <v>1600</v>
      </c>
      <c r="G14" s="3">
        <f>E14*F14</f>
        <v/>
      </c>
    </row>
    <row r="15">
      <c r="A15" t="n">
        <v>1014</v>
      </c>
      <c r="B15" s="2" t="n">
        <v>45706</v>
      </c>
      <c r="C15" t="inlineStr">
        <is>
          <t>East</t>
        </is>
      </c>
      <c r="D15" t="inlineStr">
        <is>
          <t>USB Hub</t>
        </is>
      </c>
      <c r="E15" t="n">
        <v>3</v>
      </c>
      <c r="F15" s="3" t="n">
        <v>750</v>
      </c>
      <c r="G15" s="3">
        <f>E15*F15</f>
        <v/>
      </c>
    </row>
    <row r="16">
      <c r="A16" t="n">
        <v>1015</v>
      </c>
      <c r="B16" s="2" t="n">
        <v>45716</v>
      </c>
      <c r="C16" t="inlineStr">
        <is>
          <t>East</t>
        </is>
      </c>
      <c r="D16" t="inlineStr">
        <is>
          <t>Headset</t>
        </is>
      </c>
      <c r="E16" t="n">
        <v>11</v>
      </c>
      <c r="F16" s="3" t="n">
        <v>1600</v>
      </c>
      <c r="G16" s="3">
        <f>E16*F16</f>
        <v/>
      </c>
    </row>
    <row r="17">
      <c r="A17" t="n">
        <v>1016</v>
      </c>
      <c r="B17" s="2" t="n">
        <v>45711</v>
      </c>
      <c r="C17" t="inlineStr">
        <is>
          <t>North</t>
        </is>
      </c>
      <c r="D17" t="inlineStr">
        <is>
          <t>Webcam</t>
        </is>
      </c>
      <c r="E17" t="n">
        <v>5</v>
      </c>
      <c r="F17" s="3" t="n">
        <v>2200</v>
      </c>
      <c r="G17" s="3">
        <f>E17*F17</f>
        <v/>
      </c>
    </row>
    <row r="18">
      <c r="A18" t="n">
        <v>1017</v>
      </c>
      <c r="B18" s="2" t="n">
        <v>45696</v>
      </c>
      <c r="C18" t="inlineStr">
        <is>
          <t>East</t>
        </is>
      </c>
      <c r="D18" t="inlineStr">
        <is>
          <t>Laptop Stand</t>
        </is>
      </c>
      <c r="E18" t="n">
        <v>12</v>
      </c>
      <c r="F18" s="3" t="n">
        <v>1800</v>
      </c>
      <c r="G18" s="3">
        <f>E18*F18</f>
        <v/>
      </c>
    </row>
    <row r="19">
      <c r="A19" t="n">
        <v>1018</v>
      </c>
      <c r="B19" s="2" t="n">
        <v>45716</v>
      </c>
      <c r="C19" t="inlineStr">
        <is>
          <t>North</t>
        </is>
      </c>
      <c r="D19" t="inlineStr">
        <is>
          <t>Laptop Stand</t>
        </is>
      </c>
      <c r="E19" t="n">
        <v>5</v>
      </c>
      <c r="F19" s="3" t="n">
        <v>1800</v>
      </c>
      <c r="G19" s="3">
        <f>E19*F19</f>
        <v/>
      </c>
    </row>
    <row r="20">
      <c r="A20" t="n">
        <v>1019</v>
      </c>
      <c r="B20" s="2" t="n">
        <v>45703</v>
      </c>
      <c r="C20" t="inlineStr">
        <is>
          <t>East</t>
        </is>
      </c>
      <c r="D20" t="inlineStr">
        <is>
          <t>USB Hub</t>
        </is>
      </c>
      <c r="E20" t="n">
        <v>6</v>
      </c>
      <c r="F20" s="3" t="n">
        <v>750</v>
      </c>
      <c r="G20" s="3">
        <f>E20*F20</f>
        <v/>
      </c>
    </row>
    <row r="21">
      <c r="A21" t="n">
        <v>1020</v>
      </c>
      <c r="B21" s="2" t="n">
        <v>45700</v>
      </c>
      <c r="C21" t="inlineStr">
        <is>
          <t>South</t>
        </is>
      </c>
      <c r="D21" t="inlineStr">
        <is>
          <t>Wireless Mouse</t>
        </is>
      </c>
      <c r="E21" t="n">
        <v>7</v>
      </c>
      <c r="F21" s="3" t="n">
        <v>900</v>
      </c>
      <c r="G21" s="3">
        <f>E21*F21</f>
        <v/>
      </c>
    </row>
    <row r="22">
      <c r="A22" t="n">
        <v>1021</v>
      </c>
      <c r="B22" s="2" t="n">
        <v>45739</v>
      </c>
      <c r="C22" t="inlineStr">
        <is>
          <t>North</t>
        </is>
      </c>
      <c r="D22" t="inlineStr">
        <is>
          <t>Headset</t>
        </is>
      </c>
      <c r="E22" t="n">
        <v>6</v>
      </c>
      <c r="F22" s="3" t="n">
        <v>1600</v>
      </c>
      <c r="G22" s="3">
        <f>E22*F22</f>
        <v/>
      </c>
    </row>
    <row r="23">
      <c r="A23" t="n">
        <v>1022</v>
      </c>
      <c r="B23" s="2" t="n">
        <v>45722</v>
      </c>
      <c r="C23" t="inlineStr">
        <is>
          <t>South</t>
        </is>
      </c>
      <c r="D23" t="inlineStr">
        <is>
          <t>Webcam</t>
        </is>
      </c>
      <c r="E23" t="n">
        <v>12</v>
      </c>
      <c r="F23" s="3" t="n">
        <v>2200</v>
      </c>
      <c r="G23" s="3">
        <f>E23*F23</f>
        <v/>
      </c>
    </row>
    <row r="24">
      <c r="A24" t="n">
        <v>1023</v>
      </c>
      <c r="B24" s="2" t="n">
        <v>45729</v>
      </c>
      <c r="C24" t="inlineStr">
        <is>
          <t>East</t>
        </is>
      </c>
      <c r="D24" t="inlineStr">
        <is>
          <t>Wireless Mouse</t>
        </is>
      </c>
      <c r="E24" t="n">
        <v>9</v>
      </c>
      <c r="F24" s="3" t="n">
        <v>900</v>
      </c>
      <c r="G24" s="3">
        <f>E24*F24</f>
        <v/>
      </c>
    </row>
    <row r="25">
      <c r="A25" t="n">
        <v>1024</v>
      </c>
      <c r="B25" s="2" t="n">
        <v>45724</v>
      </c>
      <c r="C25" t="inlineStr">
        <is>
          <t>East</t>
        </is>
      </c>
      <c r="D25" t="inlineStr">
        <is>
          <t>Headset</t>
        </is>
      </c>
      <c r="E25" t="n">
        <v>10</v>
      </c>
      <c r="F25" s="3" t="n">
        <v>1600</v>
      </c>
      <c r="G25" s="3">
        <f>E25*F25</f>
        <v/>
      </c>
    </row>
    <row r="26">
      <c r="A26" t="n">
        <v>1025</v>
      </c>
      <c r="B26" s="2" t="n">
        <v>45743</v>
      </c>
      <c r="C26" t="inlineStr">
        <is>
          <t>North</t>
        </is>
      </c>
      <c r="D26" t="inlineStr">
        <is>
          <t>Laptop Stand</t>
        </is>
      </c>
      <c r="E26" t="n">
        <v>5</v>
      </c>
      <c r="F26" s="3" t="n">
        <v>1800</v>
      </c>
      <c r="G26" s="3">
        <f>E26*F26</f>
        <v/>
      </c>
    </row>
    <row r="27">
      <c r="A27" t="n">
        <v>1026</v>
      </c>
      <c r="B27" s="2" t="n">
        <v>45725</v>
      </c>
      <c r="C27" t="inlineStr">
        <is>
          <t>North</t>
        </is>
      </c>
      <c r="D27" t="inlineStr">
        <is>
          <t>Keyboard</t>
        </is>
      </c>
      <c r="E27" t="n">
        <v>8</v>
      </c>
      <c r="F27" s="3" t="n">
        <v>1400</v>
      </c>
      <c r="G27" s="3">
        <f>E27*F27</f>
        <v/>
      </c>
    </row>
    <row r="28">
      <c r="A28" t="n">
        <v>1027</v>
      </c>
      <c r="B28" s="2" t="n">
        <v>45739</v>
      </c>
      <c r="C28" t="inlineStr">
        <is>
          <t>East</t>
        </is>
      </c>
      <c r="D28" t="inlineStr">
        <is>
          <t>Wireless Mouse</t>
        </is>
      </c>
      <c r="E28" t="n">
        <v>11</v>
      </c>
      <c r="F28" s="3" t="n">
        <v>900</v>
      </c>
      <c r="G28" s="3">
        <f>E28*F28</f>
        <v/>
      </c>
    </row>
    <row r="29">
      <c r="A29" t="n">
        <v>1028</v>
      </c>
      <c r="B29" s="2" t="n">
        <v>45732</v>
      </c>
      <c r="C29" t="inlineStr">
        <is>
          <t>West</t>
        </is>
      </c>
      <c r="D29" t="inlineStr">
        <is>
          <t>Wireless Mouse</t>
        </is>
      </c>
      <c r="E29" t="n">
        <v>12</v>
      </c>
      <c r="F29" s="3" t="n">
        <v>900</v>
      </c>
      <c r="G29" s="3">
        <f>E29*F29</f>
        <v/>
      </c>
    </row>
    <row r="30">
      <c r="A30" t="n">
        <v>1029</v>
      </c>
      <c r="B30" s="2" t="n">
        <v>45721</v>
      </c>
      <c r="C30" t="inlineStr">
        <is>
          <t>East</t>
        </is>
      </c>
      <c r="D30" t="inlineStr">
        <is>
          <t>Headset</t>
        </is>
      </c>
      <c r="E30" t="n">
        <v>9</v>
      </c>
      <c r="F30" s="3" t="n">
        <v>1600</v>
      </c>
      <c r="G30" s="3">
        <f>E30*F30</f>
        <v/>
      </c>
    </row>
    <row r="31">
      <c r="A31" t="n">
        <v>1030</v>
      </c>
      <c r="B31" s="2" t="n">
        <v>45740</v>
      </c>
      <c r="C31" t="inlineStr">
        <is>
          <t>East</t>
        </is>
      </c>
      <c r="D31" t="inlineStr">
        <is>
          <t>Wireless Mouse</t>
        </is>
      </c>
      <c r="E31" t="n">
        <v>5</v>
      </c>
      <c r="F31" s="3" t="n">
        <v>900</v>
      </c>
      <c r="G31" s="3">
        <f>E31*F31</f>
        <v/>
      </c>
    </row>
    <row r="32">
      <c r="A32" t="n">
        <v>1031</v>
      </c>
      <c r="B32" s="2" t="n">
        <v>45761</v>
      </c>
      <c r="C32" t="inlineStr">
        <is>
          <t>West</t>
        </is>
      </c>
      <c r="D32" t="inlineStr">
        <is>
          <t>Headset</t>
        </is>
      </c>
      <c r="E32" t="n">
        <v>11</v>
      </c>
      <c r="F32" s="3" t="n">
        <v>1600</v>
      </c>
      <c r="G32" s="3">
        <f>E32*F32</f>
        <v/>
      </c>
    </row>
    <row r="33">
      <c r="A33" t="n">
        <v>1032</v>
      </c>
      <c r="B33" s="2" t="n">
        <v>45752</v>
      </c>
      <c r="C33" t="inlineStr">
        <is>
          <t>West</t>
        </is>
      </c>
      <c r="D33" t="inlineStr">
        <is>
          <t>Keyboard</t>
        </is>
      </c>
      <c r="E33" t="n">
        <v>5</v>
      </c>
      <c r="F33" s="3" t="n">
        <v>1400</v>
      </c>
      <c r="G33" s="3">
        <f>E33*F33</f>
        <v/>
      </c>
    </row>
    <row r="34">
      <c r="A34" t="n">
        <v>1033</v>
      </c>
      <c r="B34" s="2" t="n">
        <v>45775</v>
      </c>
      <c r="C34" t="inlineStr">
        <is>
          <t>North</t>
        </is>
      </c>
      <c r="D34" t="inlineStr">
        <is>
          <t>Laptop Stand</t>
        </is>
      </c>
      <c r="E34" t="n">
        <v>2</v>
      </c>
      <c r="F34" s="3" t="n">
        <v>1800</v>
      </c>
      <c r="G34" s="3">
        <f>E34*F34</f>
        <v/>
      </c>
    </row>
    <row r="35">
      <c r="A35" t="n">
        <v>1034</v>
      </c>
      <c r="B35" s="2" t="n">
        <v>45753</v>
      </c>
      <c r="C35" t="inlineStr">
        <is>
          <t>West</t>
        </is>
      </c>
      <c r="D35" t="inlineStr">
        <is>
          <t>Wireless Mouse</t>
        </is>
      </c>
      <c r="E35" t="n">
        <v>12</v>
      </c>
      <c r="F35" s="3" t="n">
        <v>900</v>
      </c>
      <c r="G35" s="3">
        <f>E35*F35</f>
        <v/>
      </c>
    </row>
    <row r="36">
      <c r="A36" t="n">
        <v>1035</v>
      </c>
      <c r="B36" s="2" t="n">
        <v>45760</v>
      </c>
      <c r="C36" t="inlineStr">
        <is>
          <t>West</t>
        </is>
      </c>
      <c r="D36" t="inlineStr">
        <is>
          <t>Webcam</t>
        </is>
      </c>
      <c r="E36" t="n">
        <v>3</v>
      </c>
      <c r="F36" s="3" t="n">
        <v>2200</v>
      </c>
      <c r="G36" s="3">
        <f>E36*F36</f>
        <v/>
      </c>
    </row>
    <row r="37">
      <c r="A37" t="n">
        <v>1036</v>
      </c>
      <c r="B37" s="2" t="n">
        <v>45764</v>
      </c>
      <c r="C37" t="inlineStr">
        <is>
          <t>East</t>
        </is>
      </c>
      <c r="D37" t="inlineStr">
        <is>
          <t>Webcam</t>
        </is>
      </c>
      <c r="E37" t="n">
        <v>9</v>
      </c>
      <c r="F37" s="3" t="n">
        <v>2200</v>
      </c>
      <c r="G37" s="3">
        <f>E37*F37</f>
        <v/>
      </c>
    </row>
    <row r="38">
      <c r="A38" t="n">
        <v>1037</v>
      </c>
      <c r="B38" s="2" t="n">
        <v>45769</v>
      </c>
      <c r="C38" t="inlineStr">
        <is>
          <t>North</t>
        </is>
      </c>
      <c r="D38" t="inlineStr">
        <is>
          <t>Webcam</t>
        </is>
      </c>
      <c r="E38" t="n">
        <v>2</v>
      </c>
      <c r="F38" s="3" t="n">
        <v>2200</v>
      </c>
      <c r="G38" s="3">
        <f>E38*F38</f>
        <v/>
      </c>
    </row>
    <row r="39">
      <c r="A39" t="n">
        <v>1038</v>
      </c>
      <c r="B39" s="2" t="n">
        <v>45772</v>
      </c>
      <c r="C39" t="inlineStr">
        <is>
          <t>East</t>
        </is>
      </c>
      <c r="D39" t="inlineStr">
        <is>
          <t>Headset</t>
        </is>
      </c>
      <c r="E39" t="n">
        <v>10</v>
      </c>
      <c r="F39" s="3" t="n">
        <v>1600</v>
      </c>
      <c r="G39" s="3">
        <f>E39*F39</f>
        <v/>
      </c>
    </row>
    <row r="40">
      <c r="A40" t="n">
        <v>1039</v>
      </c>
      <c r="B40" s="2" t="n">
        <v>45751</v>
      </c>
      <c r="C40" t="inlineStr">
        <is>
          <t>East</t>
        </is>
      </c>
      <c r="D40" t="inlineStr">
        <is>
          <t>Headset</t>
        </is>
      </c>
      <c r="E40" t="n">
        <v>7</v>
      </c>
      <c r="F40" s="3" t="n">
        <v>1600</v>
      </c>
      <c r="G40" s="3">
        <f>E40*F40</f>
        <v/>
      </c>
    </row>
    <row r="41">
      <c r="A41" t="n">
        <v>1040</v>
      </c>
      <c r="B41" s="2" t="n">
        <v>45762</v>
      </c>
      <c r="C41" t="inlineStr">
        <is>
          <t>North</t>
        </is>
      </c>
      <c r="D41" t="inlineStr">
        <is>
          <t>USB Hub</t>
        </is>
      </c>
      <c r="E41" t="n">
        <v>4</v>
      </c>
      <c r="F41" s="3" t="n">
        <v>750</v>
      </c>
      <c r="G41" s="3">
        <f>E41*F41</f>
        <v/>
      </c>
    </row>
    <row r="42">
      <c r="A42" t="n">
        <v>1041</v>
      </c>
      <c r="B42" s="2" t="n">
        <v>45794</v>
      </c>
      <c r="C42" t="inlineStr">
        <is>
          <t>South</t>
        </is>
      </c>
      <c r="D42" t="inlineStr">
        <is>
          <t>Headset</t>
        </is>
      </c>
      <c r="E42" t="n">
        <v>6</v>
      </c>
      <c r="F42" s="3" t="n">
        <v>1600</v>
      </c>
      <c r="G42" s="3">
        <f>E42*F42</f>
        <v/>
      </c>
    </row>
    <row r="43">
      <c r="A43" t="n">
        <v>1042</v>
      </c>
      <c r="B43" s="2" t="n">
        <v>45805</v>
      </c>
      <c r="C43" t="inlineStr">
        <is>
          <t>East</t>
        </is>
      </c>
      <c r="D43" t="inlineStr">
        <is>
          <t>Webcam</t>
        </is>
      </c>
      <c r="E43" t="n">
        <v>3</v>
      </c>
      <c r="F43" s="3" t="n">
        <v>2200</v>
      </c>
      <c r="G43" s="3">
        <f>E43*F43</f>
        <v/>
      </c>
    </row>
    <row r="44">
      <c r="A44" t="n">
        <v>1043</v>
      </c>
      <c r="B44" s="2" t="n">
        <v>45797</v>
      </c>
      <c r="C44" t="inlineStr">
        <is>
          <t>South</t>
        </is>
      </c>
      <c r="D44" t="inlineStr">
        <is>
          <t>Headset</t>
        </is>
      </c>
      <c r="E44" t="n">
        <v>10</v>
      </c>
      <c r="F44" s="3" t="n">
        <v>1600</v>
      </c>
      <c r="G44" s="3">
        <f>E44*F44</f>
        <v/>
      </c>
    </row>
    <row r="45">
      <c r="A45" t="n">
        <v>1044</v>
      </c>
      <c r="B45" s="2" t="n">
        <v>45802</v>
      </c>
      <c r="C45" t="inlineStr">
        <is>
          <t>South</t>
        </is>
      </c>
      <c r="D45" t="inlineStr">
        <is>
          <t>Wireless Mouse</t>
        </is>
      </c>
      <c r="E45" t="n">
        <v>7</v>
      </c>
      <c r="F45" s="3" t="n">
        <v>900</v>
      </c>
      <c r="G45" s="3">
        <f>E45*F45</f>
        <v/>
      </c>
    </row>
    <row r="46">
      <c r="A46" t="n">
        <v>1045</v>
      </c>
      <c r="B46" s="2" t="n">
        <v>45778</v>
      </c>
      <c r="C46" t="inlineStr">
        <is>
          <t>East</t>
        </is>
      </c>
      <c r="D46" t="inlineStr">
        <is>
          <t>Webcam</t>
        </is>
      </c>
      <c r="E46" t="n">
        <v>10</v>
      </c>
      <c r="F46" s="3" t="n">
        <v>2200</v>
      </c>
      <c r="G46" s="3">
        <f>E46*F46</f>
        <v/>
      </c>
    </row>
    <row r="47">
      <c r="A47" t="n">
        <v>1046</v>
      </c>
      <c r="B47" s="2" t="n">
        <v>45781</v>
      </c>
      <c r="C47" t="inlineStr">
        <is>
          <t>East</t>
        </is>
      </c>
      <c r="D47" t="inlineStr">
        <is>
          <t>USB Hub</t>
        </is>
      </c>
      <c r="E47" t="n">
        <v>2</v>
      </c>
      <c r="F47" s="3" t="n">
        <v>750</v>
      </c>
      <c r="G47" s="3">
        <f>E47*F47</f>
        <v/>
      </c>
    </row>
    <row r="48">
      <c r="A48" t="n">
        <v>1047</v>
      </c>
      <c r="B48" s="2" t="n">
        <v>45779</v>
      </c>
      <c r="C48" t="inlineStr">
        <is>
          <t>South</t>
        </is>
      </c>
      <c r="D48" t="inlineStr">
        <is>
          <t>Keyboard</t>
        </is>
      </c>
      <c r="E48" t="n">
        <v>5</v>
      </c>
      <c r="F48" s="3" t="n">
        <v>1400</v>
      </c>
      <c r="G48" s="3">
        <f>E48*F48</f>
        <v/>
      </c>
    </row>
    <row r="49">
      <c r="A49" t="n">
        <v>1048</v>
      </c>
      <c r="B49" s="2" t="n">
        <v>45780</v>
      </c>
      <c r="C49" t="inlineStr">
        <is>
          <t>West</t>
        </is>
      </c>
      <c r="D49" t="inlineStr">
        <is>
          <t>Webcam</t>
        </is>
      </c>
      <c r="E49" t="n">
        <v>3</v>
      </c>
      <c r="F49" s="3" t="n">
        <v>2200</v>
      </c>
      <c r="G49" s="3">
        <f>E49*F49</f>
        <v/>
      </c>
    </row>
    <row r="50">
      <c r="A50" t="n">
        <v>1049</v>
      </c>
      <c r="B50" s="2" t="n">
        <v>45802</v>
      </c>
      <c r="C50" t="inlineStr">
        <is>
          <t>South</t>
        </is>
      </c>
      <c r="D50" t="inlineStr">
        <is>
          <t>Laptop Stand</t>
        </is>
      </c>
      <c r="E50" t="n">
        <v>10</v>
      </c>
      <c r="F50" s="3" t="n">
        <v>1800</v>
      </c>
      <c r="G50" s="3">
        <f>E50*F50</f>
        <v/>
      </c>
    </row>
    <row r="51">
      <c r="A51" t="n">
        <v>1050</v>
      </c>
      <c r="B51" s="2" t="n">
        <v>45793</v>
      </c>
      <c r="C51" t="inlineStr">
        <is>
          <t>South</t>
        </is>
      </c>
      <c r="D51" t="inlineStr">
        <is>
          <t>Wireless Mouse</t>
        </is>
      </c>
      <c r="E51" t="n">
        <v>12</v>
      </c>
      <c r="F51" s="3" t="n">
        <v>900</v>
      </c>
      <c r="G51" s="3">
        <f>E51*F51</f>
        <v/>
      </c>
    </row>
    <row r="52">
      <c r="A52" t="n">
        <v>1051</v>
      </c>
      <c r="B52" s="2" t="n">
        <v>45836</v>
      </c>
      <c r="C52" t="inlineStr">
        <is>
          <t>West</t>
        </is>
      </c>
      <c r="D52" t="inlineStr">
        <is>
          <t>Keyboard</t>
        </is>
      </c>
      <c r="E52" t="n">
        <v>10</v>
      </c>
      <c r="F52" s="3" t="n">
        <v>1400</v>
      </c>
      <c r="G52" s="3">
        <f>E52*F52</f>
        <v/>
      </c>
    </row>
    <row r="53">
      <c r="A53" t="n">
        <v>1052</v>
      </c>
      <c r="B53" s="2" t="n">
        <v>45833</v>
      </c>
      <c r="C53" t="inlineStr">
        <is>
          <t>South</t>
        </is>
      </c>
      <c r="D53" t="inlineStr">
        <is>
          <t>Wireless Mouse</t>
        </is>
      </c>
      <c r="E53" t="n">
        <v>10</v>
      </c>
      <c r="F53" s="3" t="n">
        <v>900</v>
      </c>
      <c r="G53" s="3">
        <f>E53*F53</f>
        <v/>
      </c>
    </row>
    <row r="54">
      <c r="A54" t="n">
        <v>1053</v>
      </c>
      <c r="B54" s="2" t="n">
        <v>45821</v>
      </c>
      <c r="C54" t="inlineStr">
        <is>
          <t>East</t>
        </is>
      </c>
      <c r="D54" t="inlineStr">
        <is>
          <t>Headset</t>
        </is>
      </c>
      <c r="E54" t="n">
        <v>6</v>
      </c>
      <c r="F54" s="3" t="n">
        <v>1600</v>
      </c>
      <c r="G54" s="3">
        <f>E54*F54</f>
        <v/>
      </c>
    </row>
    <row r="55">
      <c r="A55" t="n">
        <v>1054</v>
      </c>
      <c r="B55" s="2" t="n">
        <v>45823</v>
      </c>
      <c r="C55" t="inlineStr">
        <is>
          <t>North</t>
        </is>
      </c>
      <c r="D55" t="inlineStr">
        <is>
          <t>USB Hub</t>
        </is>
      </c>
      <c r="E55" t="n">
        <v>10</v>
      </c>
      <c r="F55" s="3" t="n">
        <v>750</v>
      </c>
      <c r="G55" s="3">
        <f>E55*F55</f>
        <v/>
      </c>
    </row>
    <row r="56">
      <c r="A56" t="n">
        <v>1055</v>
      </c>
      <c r="B56" s="2" t="n">
        <v>45811</v>
      </c>
      <c r="C56" t="inlineStr">
        <is>
          <t>East</t>
        </is>
      </c>
      <c r="D56" t="inlineStr">
        <is>
          <t>Wireless Mouse</t>
        </is>
      </c>
      <c r="E56" t="n">
        <v>5</v>
      </c>
      <c r="F56" s="3" t="n">
        <v>900</v>
      </c>
      <c r="G56" s="3">
        <f>E56*F56</f>
        <v/>
      </c>
    </row>
    <row r="57">
      <c r="A57" t="n">
        <v>1056</v>
      </c>
      <c r="B57" s="2" t="n">
        <v>45826</v>
      </c>
      <c r="C57" t="inlineStr">
        <is>
          <t>South</t>
        </is>
      </c>
      <c r="D57" t="inlineStr">
        <is>
          <t>Laptop Stand</t>
        </is>
      </c>
      <c r="E57" t="n">
        <v>11</v>
      </c>
      <c r="F57" s="3" t="n">
        <v>1800</v>
      </c>
      <c r="G57" s="3">
        <f>E57*F57</f>
        <v/>
      </c>
    </row>
    <row r="58">
      <c r="A58" t="n">
        <v>1057</v>
      </c>
      <c r="B58" s="2" t="n">
        <v>45809</v>
      </c>
      <c r="C58" t="inlineStr">
        <is>
          <t>North</t>
        </is>
      </c>
      <c r="D58" t="inlineStr">
        <is>
          <t>Webcam</t>
        </is>
      </c>
      <c r="E58" t="n">
        <v>5</v>
      </c>
      <c r="F58" s="3" t="n">
        <v>2200</v>
      </c>
      <c r="G58" s="3">
        <f>E58*F58</f>
        <v/>
      </c>
    </row>
    <row r="59">
      <c r="A59" t="n">
        <v>1058</v>
      </c>
      <c r="B59" s="2" t="n">
        <v>45810</v>
      </c>
      <c r="C59" t="inlineStr">
        <is>
          <t>South</t>
        </is>
      </c>
      <c r="D59" t="inlineStr">
        <is>
          <t>Headset</t>
        </is>
      </c>
      <c r="E59" t="n">
        <v>12</v>
      </c>
      <c r="F59" s="3" t="n">
        <v>1600</v>
      </c>
      <c r="G59" s="3">
        <f>E59*F59</f>
        <v/>
      </c>
    </row>
    <row r="60">
      <c r="A60" t="n">
        <v>1059</v>
      </c>
      <c r="B60" s="2" t="n">
        <v>45836</v>
      </c>
      <c r="C60" t="inlineStr">
        <is>
          <t>East</t>
        </is>
      </c>
      <c r="D60" t="inlineStr">
        <is>
          <t>Laptop Stand</t>
        </is>
      </c>
      <c r="E60" t="n">
        <v>2</v>
      </c>
      <c r="F60" s="3" t="n">
        <v>1800</v>
      </c>
      <c r="G60" s="3">
        <f>E60*F60</f>
        <v/>
      </c>
    </row>
    <row r="61">
      <c r="A61" t="n">
        <v>1060</v>
      </c>
      <c r="B61" s="2" t="n">
        <v>45816</v>
      </c>
      <c r="C61" t="inlineStr">
        <is>
          <t>East</t>
        </is>
      </c>
      <c r="D61" t="inlineStr">
        <is>
          <t>Laptop Stand</t>
        </is>
      </c>
      <c r="E61" t="n">
        <v>10</v>
      </c>
      <c r="F61" s="3" t="n">
        <v>1800</v>
      </c>
      <c r="G61" s="3">
        <f>E61*F61</f>
        <v/>
      </c>
    </row>
    <row r="62">
      <c r="A62" t="n">
        <v>1061</v>
      </c>
      <c r="B62" s="2" t="n">
        <v>45845</v>
      </c>
      <c r="C62" t="inlineStr">
        <is>
          <t>South</t>
        </is>
      </c>
      <c r="D62" t="inlineStr">
        <is>
          <t>Headset</t>
        </is>
      </c>
      <c r="E62" t="n">
        <v>9</v>
      </c>
      <c r="F62" s="3" t="n">
        <v>1600</v>
      </c>
      <c r="G62" s="3">
        <f>E62*F62</f>
        <v/>
      </c>
    </row>
    <row r="63">
      <c r="A63" t="n">
        <v>1062</v>
      </c>
      <c r="B63" s="2" t="n">
        <v>45857</v>
      </c>
      <c r="C63" t="inlineStr">
        <is>
          <t>West</t>
        </is>
      </c>
      <c r="D63" t="inlineStr">
        <is>
          <t>Headset</t>
        </is>
      </c>
      <c r="E63" t="n">
        <v>11</v>
      </c>
      <c r="F63" s="3" t="n">
        <v>1600</v>
      </c>
      <c r="G63" s="3">
        <f>E63*F63</f>
        <v/>
      </c>
    </row>
    <row r="64">
      <c r="A64" t="n">
        <v>1063</v>
      </c>
      <c r="B64" s="2" t="n">
        <v>45864</v>
      </c>
      <c r="C64" t="inlineStr">
        <is>
          <t>West</t>
        </is>
      </c>
      <c r="D64" t="inlineStr">
        <is>
          <t>Wireless Mouse</t>
        </is>
      </c>
      <c r="E64" t="n">
        <v>9</v>
      </c>
      <c r="F64" s="3" t="n">
        <v>900</v>
      </c>
      <c r="G64" s="3">
        <f>E64*F64</f>
        <v/>
      </c>
    </row>
    <row r="65">
      <c r="A65" t="n">
        <v>1064</v>
      </c>
      <c r="B65" s="2" t="n">
        <v>45842</v>
      </c>
      <c r="C65" t="inlineStr">
        <is>
          <t>West</t>
        </is>
      </c>
      <c r="D65" t="inlineStr">
        <is>
          <t>Wireless Mouse</t>
        </is>
      </c>
      <c r="E65" t="n">
        <v>3</v>
      </c>
      <c r="F65" s="3" t="n">
        <v>900</v>
      </c>
      <c r="G65" s="3">
        <f>E65*F65</f>
        <v/>
      </c>
    </row>
    <row r="66">
      <c r="A66" t="n">
        <v>1065</v>
      </c>
      <c r="B66" s="2" t="n">
        <v>45852</v>
      </c>
      <c r="C66" t="inlineStr">
        <is>
          <t>West</t>
        </is>
      </c>
      <c r="D66" t="inlineStr">
        <is>
          <t>Keyboard</t>
        </is>
      </c>
      <c r="E66" t="n">
        <v>8</v>
      </c>
      <c r="F66" s="3" t="n">
        <v>1400</v>
      </c>
      <c r="G66" s="3">
        <f>E66*F66</f>
        <v/>
      </c>
    </row>
    <row r="67">
      <c r="A67" t="n">
        <v>1066</v>
      </c>
      <c r="B67" s="2" t="n">
        <v>45860</v>
      </c>
      <c r="C67" t="inlineStr">
        <is>
          <t>North</t>
        </is>
      </c>
      <c r="D67" t="inlineStr">
        <is>
          <t>Headset</t>
        </is>
      </c>
      <c r="E67" t="n">
        <v>2</v>
      </c>
      <c r="F67" s="3" t="n">
        <v>1600</v>
      </c>
      <c r="G67" s="3">
        <f>E67*F67</f>
        <v/>
      </c>
    </row>
    <row r="68">
      <c r="A68" t="n">
        <v>1067</v>
      </c>
      <c r="B68" s="2" t="n">
        <v>45862</v>
      </c>
      <c r="C68" t="inlineStr">
        <is>
          <t>East</t>
        </is>
      </c>
      <c r="D68" t="inlineStr">
        <is>
          <t>Laptop Stand</t>
        </is>
      </c>
      <c r="E68" t="n">
        <v>8</v>
      </c>
      <c r="F68" s="3" t="n">
        <v>1800</v>
      </c>
      <c r="G68" s="3">
        <f>E68*F68</f>
        <v/>
      </c>
    </row>
    <row r="69">
      <c r="A69" t="n">
        <v>1068</v>
      </c>
      <c r="B69" s="2" t="n">
        <v>45845</v>
      </c>
      <c r="C69" t="inlineStr">
        <is>
          <t>South</t>
        </is>
      </c>
      <c r="D69" t="inlineStr">
        <is>
          <t>Laptop Stand</t>
        </is>
      </c>
      <c r="E69" t="n">
        <v>5</v>
      </c>
      <c r="F69" s="3" t="n">
        <v>1800</v>
      </c>
      <c r="G69" s="3">
        <f>E69*F69</f>
        <v/>
      </c>
    </row>
    <row r="70">
      <c r="A70" t="n">
        <v>1069</v>
      </c>
      <c r="B70" s="2" t="n">
        <v>45843</v>
      </c>
      <c r="C70" t="inlineStr">
        <is>
          <t>West</t>
        </is>
      </c>
      <c r="D70" t="inlineStr">
        <is>
          <t>Webcam</t>
        </is>
      </c>
      <c r="E70" t="n">
        <v>9</v>
      </c>
      <c r="F70" s="3" t="n">
        <v>2200</v>
      </c>
      <c r="G70" s="3">
        <f>E70*F70</f>
        <v/>
      </c>
    </row>
    <row r="71">
      <c r="A71" t="n">
        <v>1070</v>
      </c>
      <c r="B71" s="2" t="n">
        <v>45853</v>
      </c>
      <c r="C71" t="inlineStr">
        <is>
          <t>South</t>
        </is>
      </c>
      <c r="D71" t="inlineStr">
        <is>
          <t>Wireless Mouse</t>
        </is>
      </c>
      <c r="E71" t="n">
        <v>6</v>
      </c>
      <c r="F71" s="3" t="n">
        <v>900</v>
      </c>
      <c r="G71" s="3">
        <f>E71*F71</f>
        <v/>
      </c>
    </row>
    <row r="72">
      <c r="A72" t="n">
        <v>1071</v>
      </c>
      <c r="B72" s="2" t="n">
        <v>45895</v>
      </c>
      <c r="C72" t="inlineStr">
        <is>
          <t>North</t>
        </is>
      </c>
      <c r="D72" t="inlineStr">
        <is>
          <t>Laptop Stand</t>
        </is>
      </c>
      <c r="E72" t="n">
        <v>9</v>
      </c>
      <c r="F72" s="3" t="n">
        <v>1800</v>
      </c>
      <c r="G72" s="3">
        <f>E72*F72</f>
        <v/>
      </c>
    </row>
    <row r="73">
      <c r="A73" t="n">
        <v>1072</v>
      </c>
      <c r="B73" s="2" t="n">
        <v>45887</v>
      </c>
      <c r="C73" t="inlineStr">
        <is>
          <t>North</t>
        </is>
      </c>
      <c r="D73" t="inlineStr">
        <is>
          <t>Laptop Stand</t>
        </is>
      </c>
      <c r="E73" t="n">
        <v>12</v>
      </c>
      <c r="F73" s="3" t="n">
        <v>1800</v>
      </c>
      <c r="G73" s="3">
        <f>E73*F73</f>
        <v/>
      </c>
    </row>
    <row r="74">
      <c r="A74" t="n">
        <v>1073</v>
      </c>
      <c r="B74" s="2" t="n">
        <v>45875</v>
      </c>
      <c r="C74" t="inlineStr">
        <is>
          <t>West</t>
        </is>
      </c>
      <c r="D74" t="inlineStr">
        <is>
          <t>Laptop Stand</t>
        </is>
      </c>
      <c r="E74" t="n">
        <v>5</v>
      </c>
      <c r="F74" s="3" t="n">
        <v>1800</v>
      </c>
      <c r="G74" s="3">
        <f>E74*F74</f>
        <v/>
      </c>
    </row>
    <row r="75">
      <c r="A75" t="n">
        <v>1074</v>
      </c>
      <c r="B75" s="2" t="n">
        <v>45876</v>
      </c>
      <c r="C75" t="inlineStr">
        <is>
          <t>West</t>
        </is>
      </c>
      <c r="D75" t="inlineStr">
        <is>
          <t>USB Hub</t>
        </is>
      </c>
      <c r="E75" t="n">
        <v>9</v>
      </c>
      <c r="F75" s="3" t="n">
        <v>750</v>
      </c>
      <c r="G75" s="3">
        <f>E75*F75</f>
        <v/>
      </c>
    </row>
    <row r="76">
      <c r="A76" t="n">
        <v>1075</v>
      </c>
      <c r="B76" s="2" t="n">
        <v>45882</v>
      </c>
      <c r="C76" t="inlineStr">
        <is>
          <t>North</t>
        </is>
      </c>
      <c r="D76" t="inlineStr">
        <is>
          <t>Laptop Stand</t>
        </is>
      </c>
      <c r="E76" t="n">
        <v>4</v>
      </c>
      <c r="F76" s="3" t="n">
        <v>1800</v>
      </c>
      <c r="G76" s="3">
        <f>E76*F76</f>
        <v/>
      </c>
    </row>
    <row r="77">
      <c r="A77" t="n">
        <v>1076</v>
      </c>
      <c r="B77" s="2" t="n">
        <v>45895</v>
      </c>
      <c r="C77" t="inlineStr">
        <is>
          <t>West</t>
        </is>
      </c>
      <c r="D77" t="inlineStr">
        <is>
          <t>USB Hub</t>
        </is>
      </c>
      <c r="E77" t="n">
        <v>6</v>
      </c>
      <c r="F77" s="3" t="n">
        <v>750</v>
      </c>
      <c r="G77" s="3">
        <f>E77*F77</f>
        <v/>
      </c>
    </row>
    <row r="78">
      <c r="A78" t="n">
        <v>1077</v>
      </c>
      <c r="B78" s="2" t="n">
        <v>45892</v>
      </c>
      <c r="C78" t="inlineStr">
        <is>
          <t>West</t>
        </is>
      </c>
      <c r="D78" t="inlineStr">
        <is>
          <t>Keyboard</t>
        </is>
      </c>
      <c r="E78" t="n">
        <v>8</v>
      </c>
      <c r="F78" s="3" t="n">
        <v>1400</v>
      </c>
      <c r="G78" s="3">
        <f>E78*F78</f>
        <v/>
      </c>
    </row>
    <row r="79">
      <c r="A79" t="n">
        <v>1078</v>
      </c>
      <c r="B79" s="2" t="n">
        <v>45879</v>
      </c>
      <c r="C79" t="inlineStr">
        <is>
          <t>South</t>
        </is>
      </c>
      <c r="D79" t="inlineStr">
        <is>
          <t>Wireless Mouse</t>
        </is>
      </c>
      <c r="E79" t="n">
        <v>5</v>
      </c>
      <c r="F79" s="3" t="n">
        <v>900</v>
      </c>
      <c r="G79" s="3">
        <f>E79*F79</f>
        <v/>
      </c>
    </row>
    <row r="80">
      <c r="A80" t="n">
        <v>1079</v>
      </c>
      <c r="B80" s="2" t="n">
        <v>45893</v>
      </c>
      <c r="C80" t="inlineStr">
        <is>
          <t>North</t>
        </is>
      </c>
      <c r="D80" t="inlineStr">
        <is>
          <t>Laptop Stand</t>
        </is>
      </c>
      <c r="E80" t="n">
        <v>11</v>
      </c>
      <c r="F80" s="3" t="n">
        <v>1800</v>
      </c>
      <c r="G80" s="3">
        <f>E80*F80</f>
        <v/>
      </c>
    </row>
    <row r="81">
      <c r="A81" t="n">
        <v>1080</v>
      </c>
      <c r="B81" s="2" t="n">
        <v>45871</v>
      </c>
      <c r="C81" t="inlineStr">
        <is>
          <t>North</t>
        </is>
      </c>
      <c r="D81" t="inlineStr">
        <is>
          <t>Headset</t>
        </is>
      </c>
      <c r="E81" t="n">
        <v>7</v>
      </c>
      <c r="F81" s="3" t="n">
        <v>1600</v>
      </c>
      <c r="G81" s="3">
        <f>E81*F81</f>
        <v/>
      </c>
    </row>
    <row r="82">
      <c r="A82" t="n">
        <v>1081</v>
      </c>
      <c r="B82" s="2" t="n">
        <v>45917</v>
      </c>
      <c r="C82" t="inlineStr">
        <is>
          <t>South</t>
        </is>
      </c>
      <c r="D82" t="inlineStr">
        <is>
          <t>Webcam</t>
        </is>
      </c>
      <c r="E82" t="n">
        <v>9</v>
      </c>
      <c r="F82" s="3" t="n">
        <v>2200</v>
      </c>
      <c r="G82" s="3">
        <f>E82*F82</f>
        <v/>
      </c>
    </row>
    <row r="83">
      <c r="A83" t="n">
        <v>1082</v>
      </c>
      <c r="B83" s="2" t="n">
        <v>45903</v>
      </c>
      <c r="C83" t="inlineStr">
        <is>
          <t>South</t>
        </is>
      </c>
      <c r="D83" t="inlineStr">
        <is>
          <t>Laptop Stand</t>
        </is>
      </c>
      <c r="E83" t="n">
        <v>10</v>
      </c>
      <c r="F83" s="3" t="n">
        <v>1800</v>
      </c>
      <c r="G83" s="3">
        <f>E83*F83</f>
        <v/>
      </c>
    </row>
    <row r="84">
      <c r="A84" t="n">
        <v>1083</v>
      </c>
      <c r="B84" s="2" t="n">
        <v>45903</v>
      </c>
      <c r="C84" t="inlineStr">
        <is>
          <t>South</t>
        </is>
      </c>
      <c r="D84" t="inlineStr">
        <is>
          <t>Laptop Stand</t>
        </is>
      </c>
      <c r="E84" t="n">
        <v>11</v>
      </c>
      <c r="F84" s="3" t="n">
        <v>1800</v>
      </c>
      <c r="G84" s="3">
        <f>E84*F84</f>
        <v/>
      </c>
    </row>
    <row r="85">
      <c r="A85" t="n">
        <v>1084</v>
      </c>
      <c r="B85" s="2" t="n">
        <v>45919</v>
      </c>
      <c r="C85" t="inlineStr">
        <is>
          <t>South</t>
        </is>
      </c>
      <c r="D85" t="inlineStr">
        <is>
          <t>USB Hub</t>
        </is>
      </c>
      <c r="E85" t="n">
        <v>3</v>
      </c>
      <c r="F85" s="3" t="n">
        <v>750</v>
      </c>
      <c r="G85" s="3">
        <f>E85*F85</f>
        <v/>
      </c>
    </row>
    <row r="86">
      <c r="A86" t="n">
        <v>1085</v>
      </c>
      <c r="B86" s="2" t="n">
        <v>45902</v>
      </c>
      <c r="C86" t="inlineStr">
        <is>
          <t>North</t>
        </is>
      </c>
      <c r="D86" t="inlineStr">
        <is>
          <t>Webcam</t>
        </is>
      </c>
      <c r="E86" t="n">
        <v>11</v>
      </c>
      <c r="F86" s="3" t="n">
        <v>2200</v>
      </c>
      <c r="G86" s="3">
        <f>E86*F86</f>
        <v/>
      </c>
    </row>
    <row r="87">
      <c r="A87" t="n">
        <v>1086</v>
      </c>
      <c r="B87" s="2" t="n">
        <v>45919</v>
      </c>
      <c r="C87" t="inlineStr">
        <is>
          <t>East</t>
        </is>
      </c>
      <c r="D87" t="inlineStr">
        <is>
          <t>USB Hub</t>
        </is>
      </c>
      <c r="E87" t="n">
        <v>12</v>
      </c>
      <c r="F87" s="3" t="n">
        <v>750</v>
      </c>
      <c r="G87" s="3">
        <f>E87*F87</f>
        <v/>
      </c>
    </row>
    <row r="88">
      <c r="A88" t="n">
        <v>1087</v>
      </c>
      <c r="B88" s="2" t="n">
        <v>45922</v>
      </c>
      <c r="C88" t="inlineStr">
        <is>
          <t>East</t>
        </is>
      </c>
      <c r="D88" t="inlineStr">
        <is>
          <t>Keyboard</t>
        </is>
      </c>
      <c r="E88" t="n">
        <v>5</v>
      </c>
      <c r="F88" s="3" t="n">
        <v>1400</v>
      </c>
      <c r="G88" s="3">
        <f>E88*F88</f>
        <v/>
      </c>
    </row>
    <row r="89">
      <c r="A89" t="n">
        <v>1088</v>
      </c>
      <c r="B89" s="2" t="n">
        <v>45913</v>
      </c>
      <c r="C89" t="inlineStr">
        <is>
          <t>South</t>
        </is>
      </c>
      <c r="D89" t="inlineStr">
        <is>
          <t>Wireless Mouse</t>
        </is>
      </c>
      <c r="E89" t="n">
        <v>6</v>
      </c>
      <c r="F89" s="3" t="n">
        <v>900</v>
      </c>
      <c r="G89" s="3">
        <f>E89*F89</f>
        <v/>
      </c>
    </row>
    <row r="90">
      <c r="A90" t="n">
        <v>1089</v>
      </c>
      <c r="B90" s="2" t="n">
        <v>45910</v>
      </c>
      <c r="C90" t="inlineStr">
        <is>
          <t>West</t>
        </is>
      </c>
      <c r="D90" t="inlineStr">
        <is>
          <t>Headset</t>
        </is>
      </c>
      <c r="E90" t="n">
        <v>12</v>
      </c>
      <c r="F90" s="3" t="n">
        <v>1600</v>
      </c>
      <c r="G90" s="3">
        <f>E90*F90</f>
        <v/>
      </c>
    </row>
    <row r="91">
      <c r="A91" t="n">
        <v>1090</v>
      </c>
      <c r="B91" s="2" t="n">
        <v>45901</v>
      </c>
      <c r="C91" t="inlineStr">
        <is>
          <t>West</t>
        </is>
      </c>
      <c r="D91" t="inlineStr">
        <is>
          <t>Keyboard</t>
        </is>
      </c>
      <c r="E91" t="n">
        <v>3</v>
      </c>
      <c r="F91" s="3" t="n">
        <v>1400</v>
      </c>
      <c r="G91" s="3">
        <f>E91*F91</f>
        <v/>
      </c>
    </row>
    <row r="92">
      <c r="A92" t="n">
        <v>1091</v>
      </c>
      <c r="B92" s="2" t="n">
        <v>45934</v>
      </c>
      <c r="C92" t="inlineStr">
        <is>
          <t>North</t>
        </is>
      </c>
      <c r="D92" t="inlineStr">
        <is>
          <t>Webcam</t>
        </is>
      </c>
      <c r="E92" t="n">
        <v>11</v>
      </c>
      <c r="F92" s="3" t="n">
        <v>2200</v>
      </c>
      <c r="G92" s="3">
        <f>E92*F92</f>
        <v/>
      </c>
    </row>
    <row r="93">
      <c r="A93" t="n">
        <v>1092</v>
      </c>
      <c r="B93" s="2" t="n">
        <v>45947</v>
      </c>
      <c r="C93" t="inlineStr">
        <is>
          <t>East</t>
        </is>
      </c>
      <c r="D93" t="inlineStr">
        <is>
          <t>Webcam</t>
        </is>
      </c>
      <c r="E93" t="n">
        <v>5</v>
      </c>
      <c r="F93" s="3" t="n">
        <v>2200</v>
      </c>
      <c r="G93" s="3">
        <f>E93*F93</f>
        <v/>
      </c>
    </row>
    <row r="94">
      <c r="A94" t="n">
        <v>1093</v>
      </c>
      <c r="B94" s="2" t="n">
        <v>45933</v>
      </c>
      <c r="C94" t="inlineStr">
        <is>
          <t>South</t>
        </is>
      </c>
      <c r="D94" t="inlineStr">
        <is>
          <t>Wireless Mouse</t>
        </is>
      </c>
      <c r="E94" t="n">
        <v>7</v>
      </c>
      <c r="F94" s="3" t="n">
        <v>900</v>
      </c>
      <c r="G94" s="3">
        <f>E94*F94</f>
        <v/>
      </c>
    </row>
    <row r="95">
      <c r="A95" t="n">
        <v>1094</v>
      </c>
      <c r="B95" s="2" t="n">
        <v>45936</v>
      </c>
      <c r="C95" t="inlineStr">
        <is>
          <t>West</t>
        </is>
      </c>
      <c r="D95" t="inlineStr">
        <is>
          <t>Keyboard</t>
        </is>
      </c>
      <c r="E95" t="n">
        <v>6</v>
      </c>
      <c r="F95" s="3" t="n">
        <v>1400</v>
      </c>
      <c r="G95" s="3">
        <f>E95*F95</f>
        <v/>
      </c>
    </row>
    <row r="96">
      <c r="A96" t="n">
        <v>1095</v>
      </c>
      <c r="B96" s="2" t="n">
        <v>45950</v>
      </c>
      <c r="C96" t="inlineStr">
        <is>
          <t>North</t>
        </is>
      </c>
      <c r="D96" t="inlineStr">
        <is>
          <t>Webcam</t>
        </is>
      </c>
      <c r="E96" t="n">
        <v>6</v>
      </c>
      <c r="F96" s="3" t="n">
        <v>2200</v>
      </c>
      <c r="G96" s="3">
        <f>E96*F96</f>
        <v/>
      </c>
    </row>
    <row r="97">
      <c r="A97" t="n">
        <v>1096</v>
      </c>
      <c r="B97" s="2" t="n">
        <v>45940</v>
      </c>
      <c r="C97" t="inlineStr">
        <is>
          <t>North</t>
        </is>
      </c>
      <c r="D97" t="inlineStr">
        <is>
          <t>Headset</t>
        </is>
      </c>
      <c r="E97" t="n">
        <v>10</v>
      </c>
      <c r="F97" s="3" t="n">
        <v>1600</v>
      </c>
      <c r="G97" s="3">
        <f>E97*F97</f>
        <v/>
      </c>
    </row>
    <row r="98">
      <c r="A98" t="n">
        <v>1097</v>
      </c>
      <c r="B98" s="2" t="n">
        <v>45934</v>
      </c>
      <c r="C98" t="inlineStr">
        <is>
          <t>North</t>
        </is>
      </c>
      <c r="D98" t="inlineStr">
        <is>
          <t>Wireless Mouse</t>
        </is>
      </c>
      <c r="E98" t="n">
        <v>6</v>
      </c>
      <c r="F98" s="3" t="n">
        <v>900</v>
      </c>
      <c r="G98" s="3">
        <f>E98*F98</f>
        <v/>
      </c>
    </row>
    <row r="99">
      <c r="A99" t="n">
        <v>1098</v>
      </c>
      <c r="B99" s="2" t="n">
        <v>45935</v>
      </c>
      <c r="C99" t="inlineStr">
        <is>
          <t>East</t>
        </is>
      </c>
      <c r="D99" t="inlineStr">
        <is>
          <t>Headset</t>
        </is>
      </c>
      <c r="E99" t="n">
        <v>10</v>
      </c>
      <c r="F99" s="3" t="n">
        <v>1600</v>
      </c>
      <c r="G99" s="3">
        <f>E99*F99</f>
        <v/>
      </c>
    </row>
    <row r="100">
      <c r="A100" t="n">
        <v>1099</v>
      </c>
      <c r="B100" s="2" t="n">
        <v>45937</v>
      </c>
      <c r="C100" t="inlineStr">
        <is>
          <t>East</t>
        </is>
      </c>
      <c r="D100" t="inlineStr">
        <is>
          <t>Keyboard</t>
        </is>
      </c>
      <c r="E100" t="n">
        <v>11</v>
      </c>
      <c r="F100" s="3" t="n">
        <v>1400</v>
      </c>
      <c r="G100" s="3">
        <f>E100*F100</f>
        <v/>
      </c>
    </row>
    <row r="101">
      <c r="A101" t="n">
        <v>1100</v>
      </c>
      <c r="B101" s="2" t="n">
        <v>45951</v>
      </c>
      <c r="C101" t="inlineStr">
        <is>
          <t>East</t>
        </is>
      </c>
      <c r="D101" t="inlineStr">
        <is>
          <t>Wireless Mouse</t>
        </is>
      </c>
      <c r="E101" t="n">
        <v>12</v>
      </c>
      <c r="F101" s="3" t="n">
        <v>900</v>
      </c>
      <c r="G101" s="3">
        <f>E101*F101</f>
        <v/>
      </c>
    </row>
    <row r="102">
      <c r="A102" t="n">
        <v>1101</v>
      </c>
      <c r="B102" s="2" t="n">
        <v>45970</v>
      </c>
      <c r="C102" t="inlineStr">
        <is>
          <t>North</t>
        </is>
      </c>
      <c r="D102" t="inlineStr">
        <is>
          <t>Webcam</t>
        </is>
      </c>
      <c r="E102" t="n">
        <v>9</v>
      </c>
      <c r="F102" s="3" t="n">
        <v>2200</v>
      </c>
      <c r="G102" s="3">
        <f>E102*F102</f>
        <v/>
      </c>
    </row>
    <row r="103">
      <c r="A103" t="n">
        <v>1102</v>
      </c>
      <c r="B103" s="2" t="n">
        <v>45975</v>
      </c>
      <c r="C103" t="inlineStr">
        <is>
          <t>East</t>
        </is>
      </c>
      <c r="D103" t="inlineStr">
        <is>
          <t>Laptop Stand</t>
        </is>
      </c>
      <c r="E103" t="n">
        <v>12</v>
      </c>
      <c r="F103" s="3" t="n">
        <v>1800</v>
      </c>
      <c r="G103" s="3">
        <f>E103*F103</f>
        <v/>
      </c>
    </row>
    <row r="104">
      <c r="A104" t="n">
        <v>1103</v>
      </c>
      <c r="B104" s="2" t="n">
        <v>45972</v>
      </c>
      <c r="C104" t="inlineStr">
        <is>
          <t>South</t>
        </is>
      </c>
      <c r="D104" t="inlineStr">
        <is>
          <t>Laptop Stand</t>
        </is>
      </c>
      <c r="E104" t="n">
        <v>2</v>
      </c>
      <c r="F104" s="3" t="n">
        <v>1800</v>
      </c>
      <c r="G104" s="3">
        <f>E104*F104</f>
        <v/>
      </c>
    </row>
    <row r="105">
      <c r="A105" t="n">
        <v>1104</v>
      </c>
      <c r="B105" s="2" t="n">
        <v>45967</v>
      </c>
      <c r="C105" t="inlineStr">
        <is>
          <t>West</t>
        </is>
      </c>
      <c r="D105" t="inlineStr">
        <is>
          <t>Headset</t>
        </is>
      </c>
      <c r="E105" t="n">
        <v>6</v>
      </c>
      <c r="F105" s="3" t="n">
        <v>1600</v>
      </c>
      <c r="G105" s="3">
        <f>E105*F105</f>
        <v/>
      </c>
    </row>
    <row r="106">
      <c r="A106" t="n">
        <v>1105</v>
      </c>
      <c r="B106" s="2" t="n">
        <v>45979</v>
      </c>
      <c r="C106" t="inlineStr">
        <is>
          <t>North</t>
        </is>
      </c>
      <c r="D106" t="inlineStr">
        <is>
          <t>Webcam</t>
        </is>
      </c>
      <c r="E106" t="n">
        <v>8</v>
      </c>
      <c r="F106" s="3" t="n">
        <v>2200</v>
      </c>
      <c r="G106" s="3">
        <f>E106*F106</f>
        <v/>
      </c>
    </row>
    <row r="107">
      <c r="A107" t="n">
        <v>1106</v>
      </c>
      <c r="B107" s="2" t="n">
        <v>45984</v>
      </c>
      <c r="C107" t="inlineStr">
        <is>
          <t>South</t>
        </is>
      </c>
      <c r="D107" t="inlineStr">
        <is>
          <t>Laptop Stand</t>
        </is>
      </c>
      <c r="E107" t="n">
        <v>3</v>
      </c>
      <c r="F107" s="3" t="n">
        <v>1800</v>
      </c>
      <c r="G107" s="3">
        <f>E107*F107</f>
        <v/>
      </c>
    </row>
    <row r="108">
      <c r="A108" t="n">
        <v>1107</v>
      </c>
      <c r="B108" s="2" t="n">
        <v>45988</v>
      </c>
      <c r="C108" t="inlineStr">
        <is>
          <t>East</t>
        </is>
      </c>
      <c r="D108" t="inlineStr">
        <is>
          <t>Webcam</t>
        </is>
      </c>
      <c r="E108" t="n">
        <v>2</v>
      </c>
      <c r="F108" s="3" t="n">
        <v>2200</v>
      </c>
      <c r="G108" s="3">
        <f>E108*F108</f>
        <v/>
      </c>
    </row>
    <row r="109">
      <c r="A109" t="n">
        <v>1108</v>
      </c>
      <c r="B109" s="2" t="n">
        <v>45966</v>
      </c>
      <c r="C109" t="inlineStr">
        <is>
          <t>West</t>
        </is>
      </c>
      <c r="D109" t="inlineStr">
        <is>
          <t>Webcam</t>
        </is>
      </c>
      <c r="E109" t="n">
        <v>10</v>
      </c>
      <c r="F109" s="3" t="n">
        <v>2200</v>
      </c>
      <c r="G109" s="3">
        <f>E109*F109</f>
        <v/>
      </c>
    </row>
    <row r="110">
      <c r="A110" t="n">
        <v>1109</v>
      </c>
      <c r="B110" s="2" t="n">
        <v>45971</v>
      </c>
      <c r="C110" t="inlineStr">
        <is>
          <t>East</t>
        </is>
      </c>
      <c r="D110" t="inlineStr">
        <is>
          <t>Wireless Mouse</t>
        </is>
      </c>
      <c r="E110" t="n">
        <v>2</v>
      </c>
      <c r="F110" s="3" t="n">
        <v>900</v>
      </c>
      <c r="G110" s="3">
        <f>E110*F110</f>
        <v/>
      </c>
    </row>
    <row r="111">
      <c r="A111" t="n">
        <v>1110</v>
      </c>
      <c r="B111" s="2" t="n">
        <v>45968</v>
      </c>
      <c r="C111" t="inlineStr">
        <is>
          <t>South</t>
        </is>
      </c>
      <c r="D111" t="inlineStr">
        <is>
          <t>Laptop Stand</t>
        </is>
      </c>
      <c r="E111" t="n">
        <v>7</v>
      </c>
      <c r="F111" s="3" t="n">
        <v>1800</v>
      </c>
      <c r="G111" s="3">
        <f>E111*F111</f>
        <v/>
      </c>
    </row>
    <row r="112">
      <c r="A112" t="n">
        <v>1111</v>
      </c>
      <c r="B112" s="2" t="n">
        <v>46003</v>
      </c>
      <c r="C112" t="inlineStr">
        <is>
          <t>West</t>
        </is>
      </c>
      <c r="D112" t="inlineStr">
        <is>
          <t>Headset</t>
        </is>
      </c>
      <c r="E112" t="n">
        <v>3</v>
      </c>
      <c r="F112" s="3" t="n">
        <v>1600</v>
      </c>
      <c r="G112" s="3">
        <f>E112*F112</f>
        <v/>
      </c>
    </row>
    <row r="113">
      <c r="A113" t="n">
        <v>1112</v>
      </c>
      <c r="B113" s="2" t="n">
        <v>45999</v>
      </c>
      <c r="C113" t="inlineStr">
        <is>
          <t>South</t>
        </is>
      </c>
      <c r="D113" t="inlineStr">
        <is>
          <t>Webcam</t>
        </is>
      </c>
      <c r="E113" t="n">
        <v>4</v>
      </c>
      <c r="F113" s="3" t="n">
        <v>2200</v>
      </c>
      <c r="G113" s="3">
        <f>E113*F113</f>
        <v/>
      </c>
    </row>
    <row r="114">
      <c r="A114" t="n">
        <v>1113</v>
      </c>
      <c r="B114" s="2" t="n">
        <v>45992</v>
      </c>
      <c r="C114" t="inlineStr">
        <is>
          <t>South</t>
        </is>
      </c>
      <c r="D114" t="inlineStr">
        <is>
          <t>Wireless Mouse</t>
        </is>
      </c>
      <c r="E114" t="n">
        <v>8</v>
      </c>
      <c r="F114" s="3" t="n">
        <v>900</v>
      </c>
      <c r="G114" s="3">
        <f>E114*F114</f>
        <v/>
      </c>
    </row>
    <row r="115">
      <c r="A115" t="n">
        <v>1114</v>
      </c>
      <c r="B115" s="2" t="n">
        <v>46017</v>
      </c>
      <c r="C115" t="inlineStr">
        <is>
          <t>West</t>
        </is>
      </c>
      <c r="D115" t="inlineStr">
        <is>
          <t>Headset</t>
        </is>
      </c>
      <c r="E115" t="n">
        <v>7</v>
      </c>
      <c r="F115" s="3" t="n">
        <v>1600</v>
      </c>
      <c r="G115" s="3">
        <f>E115*F115</f>
        <v/>
      </c>
    </row>
    <row r="116">
      <c r="A116" t="n">
        <v>1115</v>
      </c>
      <c r="B116" s="2" t="n">
        <v>46000</v>
      </c>
      <c r="C116" t="inlineStr">
        <is>
          <t>South</t>
        </is>
      </c>
      <c r="D116" t="inlineStr">
        <is>
          <t>Headset</t>
        </is>
      </c>
      <c r="E116" t="n">
        <v>5</v>
      </c>
      <c r="F116" s="3" t="n">
        <v>1600</v>
      </c>
      <c r="G116" s="3">
        <f>E116*F116</f>
        <v/>
      </c>
    </row>
    <row r="117">
      <c r="A117" t="n">
        <v>1116</v>
      </c>
      <c r="B117" s="2" t="n">
        <v>46004</v>
      </c>
      <c r="C117" t="inlineStr">
        <is>
          <t>North</t>
        </is>
      </c>
      <c r="D117" t="inlineStr">
        <is>
          <t>Headset</t>
        </is>
      </c>
      <c r="E117" t="n">
        <v>3</v>
      </c>
      <c r="F117" s="3" t="n">
        <v>1600</v>
      </c>
      <c r="G117" s="3">
        <f>E117*F117</f>
        <v/>
      </c>
    </row>
    <row r="118">
      <c r="A118" t="n">
        <v>1117</v>
      </c>
      <c r="B118" s="2" t="n">
        <v>45998</v>
      </c>
      <c r="C118" t="inlineStr">
        <is>
          <t>West</t>
        </is>
      </c>
      <c r="D118" t="inlineStr">
        <is>
          <t>USB Hub</t>
        </is>
      </c>
      <c r="E118" t="n">
        <v>5</v>
      </c>
      <c r="F118" s="3" t="n">
        <v>750</v>
      </c>
      <c r="G118" s="3">
        <f>E118*F118</f>
        <v/>
      </c>
    </row>
    <row r="119">
      <c r="A119" t="n">
        <v>1118</v>
      </c>
      <c r="B119" s="2" t="n">
        <v>46018</v>
      </c>
      <c r="C119" t="inlineStr">
        <is>
          <t>South</t>
        </is>
      </c>
      <c r="D119" t="inlineStr">
        <is>
          <t>Keyboard</t>
        </is>
      </c>
      <c r="E119" t="n">
        <v>6</v>
      </c>
      <c r="F119" s="3" t="n">
        <v>1400</v>
      </c>
      <c r="G119" s="3">
        <f>E119*F119</f>
        <v/>
      </c>
    </row>
    <row r="120">
      <c r="A120" t="n">
        <v>1119</v>
      </c>
      <c r="B120" s="2" t="n">
        <v>46013</v>
      </c>
      <c r="C120" t="inlineStr">
        <is>
          <t>South</t>
        </is>
      </c>
      <c r="D120" t="inlineStr">
        <is>
          <t>Wireless Mouse</t>
        </is>
      </c>
      <c r="E120" t="n">
        <v>2</v>
      </c>
      <c r="F120" s="3" t="n">
        <v>900</v>
      </c>
      <c r="G120" s="3">
        <f>E120*F120</f>
        <v/>
      </c>
    </row>
    <row r="121">
      <c r="A121" t="n">
        <v>1120</v>
      </c>
      <c r="B121" s="2" t="n">
        <v>46000</v>
      </c>
      <c r="C121" t="inlineStr">
        <is>
          <t>North</t>
        </is>
      </c>
      <c r="D121" t="inlineStr">
        <is>
          <t>USB Hub</t>
        </is>
      </c>
      <c r="E121" t="n">
        <v>7</v>
      </c>
      <c r="F121" s="3" t="n">
        <v>750</v>
      </c>
      <c r="G121" s="3">
        <f>E121*F121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ASHISH KUMAR — EXCEL SALES DASHBOARD</t>
        </is>
      </c>
    </row>
    <row r="2">
      <c r="A2" s="5" t="inlineStr">
        <is>
          <t>Sample portfolio project | Fictional data for demonstration</t>
        </is>
      </c>
    </row>
    <row r="4">
      <c r="A4" s="6" t="inlineStr">
        <is>
          <t>TOTAL REVENUE</t>
        </is>
      </c>
      <c r="C4" s="6" t="inlineStr">
        <is>
          <t>TOTAL ORDERS</t>
        </is>
      </c>
      <c r="E4" s="6" t="inlineStr">
        <is>
          <t>TOTAL UNITS</t>
        </is>
      </c>
      <c r="G4" s="6" t="inlineStr">
        <is>
          <t>AVG ORDER VALUE</t>
        </is>
      </c>
    </row>
    <row r="5">
      <c r="A5" s="7">
        <f>SUM('Sales Data'!G2:G121)</f>
        <v/>
      </c>
      <c r="C5" s="8">
        <f>COUNTA('Sales Data'!A2:A121)</f>
        <v/>
      </c>
      <c r="E5" s="8">
        <f>SUM('Sales Data'!E2:E121)</f>
        <v/>
      </c>
      <c r="G5" s="7">
        <f>AVERAGE('Sales Data'!G2:G121)</f>
        <v/>
      </c>
    </row>
    <row r="8">
      <c r="A8" s="9" t="inlineStr">
        <is>
          <t>MONTHLY SALES</t>
        </is>
      </c>
      <c r="D8" s="9" t="inlineStr">
        <is>
          <t>REGION SALES</t>
        </is>
      </c>
      <c r="G8" s="9" t="inlineStr">
        <is>
          <t>PRODUCT SALES</t>
        </is>
      </c>
    </row>
    <row r="10">
      <c r="A10" s="1" t="inlineStr">
        <is>
          <t>Month</t>
        </is>
      </c>
      <c r="B10" s="1" t="inlineStr">
        <is>
          <t>Revenue</t>
        </is>
      </c>
      <c r="C10" s="1" t="n"/>
      <c r="D10" s="1" t="inlineStr">
        <is>
          <t>Region</t>
        </is>
      </c>
      <c r="E10" s="1" t="inlineStr">
        <is>
          <t>Revenue</t>
        </is>
      </c>
      <c r="F10" s="1" t="n"/>
      <c r="G10" s="1" t="inlineStr">
        <is>
          <t>Product</t>
        </is>
      </c>
      <c r="H10" s="1" t="inlineStr">
        <is>
          <t>Revenue</t>
        </is>
      </c>
    </row>
    <row r="11">
      <c r="A11" t="inlineStr">
        <is>
          <t>Jan</t>
        </is>
      </c>
      <c r="B11" s="3">
        <f>SUMIFS('Sales Data'!$G$2:$G$121,'Sales Data'!$B$2:$B$121,"&gt;="&amp;DATE(2025,1,1),'Sales Data'!$B$2:$B$121,"&lt;"&amp;EDATE(DATE(2025,1,1),1))</f>
        <v/>
      </c>
      <c r="D11" t="inlineStr">
        <is>
          <t>North</t>
        </is>
      </c>
      <c r="E11" s="3">
        <f>SUMIF('Sales Data'!$C$2:$C$121,D11,'Sales Data'!$G$2:$G$121)</f>
        <v/>
      </c>
      <c r="G11" t="inlineStr">
        <is>
          <t>Laptop Stand</t>
        </is>
      </c>
      <c r="H11" s="3">
        <f>SUMIF('Sales Data'!$D$2:$D$121,G11,'Sales Data'!$G$2:$G$121)</f>
        <v/>
      </c>
    </row>
    <row r="12">
      <c r="A12" t="inlineStr">
        <is>
          <t>Feb</t>
        </is>
      </c>
      <c r="B12" s="3">
        <f>SUMIFS('Sales Data'!$G$2:$G$121,'Sales Data'!$B$2:$B$121,"&gt;="&amp;DATE(2025,2,1),'Sales Data'!$B$2:$B$121,"&lt;"&amp;EDATE(DATE(2025,2,1),1))</f>
        <v/>
      </c>
      <c r="D12" t="inlineStr">
        <is>
          <t>South</t>
        </is>
      </c>
      <c r="E12" s="3">
        <f>SUMIF('Sales Data'!$C$2:$C$121,D12,'Sales Data'!$G$2:$G$121)</f>
        <v/>
      </c>
      <c r="G12" t="inlineStr">
        <is>
          <t>Wireless Mouse</t>
        </is>
      </c>
      <c r="H12" s="3">
        <f>SUMIF('Sales Data'!$D$2:$D$121,G12,'Sales Data'!$G$2:$G$121)</f>
        <v/>
      </c>
    </row>
    <row r="13">
      <c r="A13" t="inlineStr">
        <is>
          <t>Mar</t>
        </is>
      </c>
      <c r="B13" s="3">
        <f>SUMIFS('Sales Data'!$G$2:$G$121,'Sales Data'!$B$2:$B$121,"&gt;="&amp;DATE(2025,3,1),'Sales Data'!$B$2:$B$121,"&lt;"&amp;EDATE(DATE(2025,3,1),1))</f>
        <v/>
      </c>
      <c r="D13" t="inlineStr">
        <is>
          <t>East</t>
        </is>
      </c>
      <c r="E13" s="3">
        <f>SUMIF('Sales Data'!$C$2:$C$121,D13,'Sales Data'!$G$2:$G$121)</f>
        <v/>
      </c>
      <c r="G13" t="inlineStr">
        <is>
          <t>Keyboard</t>
        </is>
      </c>
      <c r="H13" s="3">
        <f>SUMIF('Sales Data'!$D$2:$D$121,G13,'Sales Data'!$G$2:$G$121)</f>
        <v/>
      </c>
    </row>
    <row r="14">
      <c r="A14" t="inlineStr">
        <is>
          <t>Apr</t>
        </is>
      </c>
      <c r="B14" s="3">
        <f>SUMIFS('Sales Data'!$G$2:$G$121,'Sales Data'!$B$2:$B$121,"&gt;="&amp;DATE(2025,4,1),'Sales Data'!$B$2:$B$121,"&lt;"&amp;EDATE(DATE(2025,4,1),1))</f>
        <v/>
      </c>
      <c r="D14" t="inlineStr">
        <is>
          <t>West</t>
        </is>
      </c>
      <c r="E14" s="3">
        <f>SUMIF('Sales Data'!$C$2:$C$121,D14,'Sales Data'!$G$2:$G$121)</f>
        <v/>
      </c>
      <c r="G14" t="inlineStr">
        <is>
          <t>USB Hub</t>
        </is>
      </c>
      <c r="H14" s="3">
        <f>SUMIF('Sales Data'!$D$2:$D$121,G14,'Sales Data'!$G$2:$G$121)</f>
        <v/>
      </c>
    </row>
    <row r="15">
      <c r="A15" t="inlineStr">
        <is>
          <t>May</t>
        </is>
      </c>
      <c r="B15" s="3">
        <f>SUMIFS('Sales Data'!$G$2:$G$121,'Sales Data'!$B$2:$B$121,"&gt;="&amp;DATE(2025,5,1),'Sales Data'!$B$2:$B$121,"&lt;"&amp;EDATE(DATE(2025,5,1),1))</f>
        <v/>
      </c>
      <c r="G15" t="inlineStr">
        <is>
          <t>Webcam</t>
        </is>
      </c>
      <c r="H15" s="3">
        <f>SUMIF('Sales Data'!$D$2:$D$121,G15,'Sales Data'!$G$2:$G$121)</f>
        <v/>
      </c>
    </row>
    <row r="16">
      <c r="A16" t="inlineStr">
        <is>
          <t>Jun</t>
        </is>
      </c>
      <c r="B16" s="3">
        <f>SUMIFS('Sales Data'!$G$2:$G$121,'Sales Data'!$B$2:$B$121,"&gt;="&amp;DATE(2025,6,1),'Sales Data'!$B$2:$B$121,"&lt;"&amp;EDATE(DATE(2025,6,1),1))</f>
        <v/>
      </c>
      <c r="G16" t="inlineStr">
        <is>
          <t>Headset</t>
        </is>
      </c>
      <c r="H16" s="3">
        <f>SUMIF('Sales Data'!$D$2:$D$121,G16,'Sales Data'!$G$2:$G$121)</f>
        <v/>
      </c>
    </row>
    <row r="17">
      <c r="A17" t="inlineStr">
        <is>
          <t>Jul</t>
        </is>
      </c>
      <c r="B17" s="3">
        <f>SUMIFS('Sales Data'!$G$2:$G$121,'Sales Data'!$B$2:$B$121,"&gt;="&amp;DATE(2025,7,1),'Sales Data'!$B$2:$B$121,"&lt;"&amp;EDATE(DATE(2025,7,1),1))</f>
        <v/>
      </c>
    </row>
    <row r="18">
      <c r="A18" t="inlineStr">
        <is>
          <t>Aug</t>
        </is>
      </c>
      <c r="B18" s="3">
        <f>SUMIFS('Sales Data'!$G$2:$G$121,'Sales Data'!$B$2:$B$121,"&gt;="&amp;DATE(2025,8,1),'Sales Data'!$B$2:$B$121,"&lt;"&amp;EDATE(DATE(2025,8,1),1))</f>
        <v/>
      </c>
    </row>
    <row r="19">
      <c r="A19" t="inlineStr">
        <is>
          <t>Sep</t>
        </is>
      </c>
      <c r="B19" s="3">
        <f>SUMIFS('Sales Data'!$G$2:$G$121,'Sales Data'!$B$2:$B$121,"&gt;="&amp;DATE(2025,9,1),'Sales Data'!$B$2:$B$121,"&lt;"&amp;EDATE(DATE(2025,9,1),1))</f>
        <v/>
      </c>
    </row>
    <row r="20">
      <c r="A20" t="inlineStr">
        <is>
          <t>Oct</t>
        </is>
      </c>
      <c r="B20" s="3">
        <f>SUMIFS('Sales Data'!$G$2:$G$121,'Sales Data'!$B$2:$B$121,"&gt;="&amp;DATE(2025,10,1),'Sales Data'!$B$2:$B$121,"&lt;"&amp;EDATE(DATE(2025,10,1),1))</f>
        <v/>
      </c>
    </row>
    <row r="21">
      <c r="A21" t="inlineStr">
        <is>
          <t>Nov</t>
        </is>
      </c>
      <c r="B21" s="3">
        <f>SUMIFS('Sales Data'!$G$2:$G$121,'Sales Data'!$B$2:$B$121,"&gt;="&amp;DATE(2025,11,1),'Sales Data'!$B$2:$B$121,"&lt;"&amp;EDATE(DATE(2025,11,1),1))</f>
        <v/>
      </c>
    </row>
    <row r="22">
      <c r="A22" t="inlineStr">
        <is>
          <t>Dec</t>
        </is>
      </c>
      <c r="B22" s="3">
        <f>SUMIFS('Sales Data'!$G$2:$G$121,'Sales Data'!$B$2:$B$121,"&gt;="&amp;DATE(2025,12,1),'Sales Data'!$B$2:$B$121,"&lt;"&amp;EDATE(DATE(2025,12,1),1))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PORTFOLIO PROJECT NOTE</t>
        </is>
      </c>
    </row>
    <row r="3">
      <c r="A3" t="inlineStr">
        <is>
          <t>Project: Excel Sales Dashboard</t>
        </is>
      </c>
    </row>
    <row r="4">
      <c r="A4" t="inlineStr">
        <is>
          <t>Purpose: Demonstration of Excel dashboard and analysis skills.</t>
        </is>
      </c>
    </row>
    <row r="5">
      <c r="A5" t="inlineStr">
        <is>
          <t>Data: Fictional sample data created for demonstration; no real client/company data is used.</t>
        </is>
      </c>
    </row>
    <row r="6">
      <c r="A6" t="inlineStr">
        <is>
          <t>Skills: formulas, SUMIFS/SUMIF, tables, KPIs, formatting and charts.</t>
        </is>
      </c>
    </row>
    <row r="7">
      <c r="A7" t="inlineStr">
        <is>
          <t>Suggested portfolio label: Sample Project — Excel Sales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2026-08-14T09:16:11Z</dcterms:created>
  <dcterms:modified xmlns:dcterms="http://purl.org/dc/terms/" xmlns:xsi="http://www.w3.org/2001/XMLSchema-instance" xsi:type="dcterms:W3CDTF">2026-08-14T09:16:11Z</dcterms:modified>
</cp:coreProperties>
</file>